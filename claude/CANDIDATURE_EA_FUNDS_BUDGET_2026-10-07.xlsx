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inimum" sheetId="2" state="visible" r:id="rId4"/>
    <sheet name="Mainline" sheetId="3" state="visible" r:id="rId5"/>
    <sheet name="Maximu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<sst xmlns="http://schemas.openxmlformats.org/spreadsheetml/2006/main" count="134" uniqueCount="52">
  <si>
    <t xml:space="preserve">1. If you would like to calculate your expenses in a currency other than USD, you can fill in cell B1 with the conversion between your currency and USD (using Google's currency converter). Then, enter amounts in column D using your own currency, and they will automatically convert to USD in column F.</t>
  </si>
  <si>
    <t xml:space="preserve">2. We suggest a contingency buffer of 5% of your grant. Cell F2 will automatically calculate this as you add line items below (don't add anything above it).</t>
  </si>
  <si>
    <t xml:space="preserve">3. You don't have to use this template for your grant budget, but we ask that you submit your application budget in a spreadsheet format.</t>
  </si>
  <si>
    <t xml:space="preserve">4. If you are applying for a range of funding scenarios (e.g., minimum, mainline, and maximum), please use a new tab for each scenario. To duplicate the budget template, right click the name of the tab, then select 'Duplicate'. Please name the tab with the funding scenario (e.g. "Mainline").</t>
  </si>
  <si>
    <t xml:space="preserve">5. Please email grants@centreforeffectivealtruism.org if you have any problems or suggestions for this template.</t>
  </si>
  <si>
    <t xml:space="preserve">Currency *   1 USD = </t>
  </si>
  <si>
    <t xml:space="preserve">&lt;-- If submitting budget in USD, leave this as 1</t>
  </si>
  <si>
    <t xml:space="preserve">Grant total (USD):</t>
  </si>
  <si>
    <t xml:space="preserve">Contingency:</t>
  </si>
  <si>
    <t xml:space="preserve">We suggest a standard 5% contingency, but you can modify cell B2 if you'd like to adjust it</t>
  </si>
  <si>
    <t xml:space="preserve">With contingency:</t>
  </si>
  <si>
    <t xml:space="preserve">Grant subtotal (USD):</t>
  </si>
  <si>
    <t xml:space="preserve">Type of Expense</t>
  </si>
  <si>
    <t xml:space="preserve">Expense details</t>
  </si>
  <si>
    <t xml:space="preserve">Notes</t>
  </si>
  <si>
    <t xml:space="preserve">Total (own currency)</t>
  </si>
  <si>
    <t xml:space="preserve">% of budget</t>
  </si>
  <si>
    <t xml:space="preserve">Total (USD)</t>
  </si>
  <si>
    <t xml:space="preserve">Use "Other" if none of the below apply</t>
  </si>
  <si>
    <t xml:space="preserve">Short description of expense</t>
  </si>
  <si>
    <t xml:space="preserve">Add any additional context and notes on other funding sources, if applicable</t>
  </si>
  <si>
    <t xml:space="preserve">Enter the amount in your preferred currency</t>
  </si>
  <si>
    <t xml:space="preserve">Column updates automatically</t>
  </si>
  <si>
    <t xml:space="preserve">Personnel</t>
  </si>
  <si>
    <t xml:space="preserve">Stipend for the applicant, gross: 4 months x 5,000 EUR</t>
  </si>
  <si>
    <t xml:space="preserve">Includes French income tax and social contributions, as the form requires. Proposed level, to be confirmed by the applicant</t>
  </si>
  <si>
    <t xml:space="preserve">Other</t>
  </si>
  <si>
    <t xml:space="preserve">GPU compute, sycophancy papers (behaviour, measurement): 480 H100-hours</t>
  </si>
  <si>
    <t xml:space="preserve">About 240 H100-hours a month, the rate of the earlier draft's compute line, over 2 months; 70B checks through NDIF at no cost. H100 SXM on vast.ai at 3.50 USD/hour (2.86-4.04 USD/h seen on 6 Oct 2026), converted at B1</t>
  </si>
  <si>
    <t xml:space="preserve">GPU compute, 'Reasons or being watched?' minimal experiment: 480 H100-hours</t>
  </si>
  <si>
    <t xml:space="preserve">Upper end of the programme's estimate for the minimal decisive experiment (230-480 GPU-h). H100 SXM on vast.ai at 3.50 USD/hour (2.86-4.04 USD/h seen on 6 Oct 2026), converted at B1</t>
  </si>
  <si>
    <t xml:space="preserve">LLM-judge API, sycophancy: judging the behavioural campaigns</t>
  </si>
  <si>
    <t xml:space="preserve">From the earlier draft's minimum scenario</t>
  </si>
  <si>
    <t xml:space="preserve">Claude API, 'Reasons or being watched?': training data of the six arms, cue sets, held-out scenarios, judges on subsamples</t>
  </si>
  <si>
    <t xml:space="preserve">Programme estimate in USD: 500-1,400 for the training data (upper end) and about 1,000 for the rest; lower with batch pricing, or by about 1,000 if Anthropic's External Researcher Access Program grants credits</t>
  </si>
  <si>
    <t xml:space="preserve">Operations</t>
  </si>
  <si>
    <t xml:space="preserve">Software and storage for sealed artefacts</t>
  </si>
  <si>
    <t xml:space="preserve">From the earlier draft</t>
  </si>
  <si>
    <t xml:space="preserve">Stipend for the applicant, gross: 6 months x 5,000 EUR</t>
  </si>
  <si>
    <t xml:space="preserve">GPU compute, sycophancy papers (behaviour, measurement): 720 H100-hours</t>
  </si>
  <si>
    <t xml:space="preserve">About 240 H100-hours a month, the rate of the earlier draft's compute line, over 3 months; 70B checks through NDIF at no cost. H100 SXM on vast.ai at 3.50 USD/hour (2.86-4.04 USD/h seen on 6 Oct 2026), converted at B1</t>
  </si>
  <si>
    <t xml:space="preserve">GPU compute, 'Reasons or being watched?' first paper: 560 H100-hours</t>
  </si>
  <si>
    <t xml:space="preserve">Upper end of the programme's estimate for the minimal experiment and the localization (270-560 GPU-h). H100 SXM on vast.ai at 3.50 USD/hour (2.86-4.04 USD/h seen on 6 Oct 2026), converted at B1</t>
  </si>
  <si>
    <t xml:space="preserve">GPU compute, reserve for the larger gaze test: 720 H100-hours</t>
  </si>
  <si>
    <t xml:space="preserve">The gaze test grows from 150-280 to 600-1,000 GPU-h at 400 scenarios x 10 generations; spent only if the pilot's power simulation calls for it. H100 SXM on vast.ai at 3.50 USD/hour (2.86-4.04 USD/h seen on 6 Oct 2026), converted at B1</t>
  </si>
  <si>
    <t xml:space="preserve">LLM-judge API, sycophancy: judging and the validity battery</t>
  </si>
  <si>
    <t xml:space="preserve">From the earlier draft's mainline scenario</t>
  </si>
  <si>
    <t xml:space="preserve">Travel</t>
  </si>
  <si>
    <t xml:space="preserve">Conference travel to present the behavioural paper</t>
  </si>
  <si>
    <t xml:space="preserve">70B runs on rented GPUs, only if NDIF cannot host the model</t>
  </si>
  <si>
    <t xml:space="preserve">Human-rated validation subset for the judge study</t>
  </si>
  <si>
    <t xml:space="preserve">Conference travel: the behavioural paper and a second venue or research visit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</si>
</sst>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$#,##0.00"/>
    <numFmt numFmtId="167" formatCode="0%"/>
    <numFmt numFmtId="168" formatCode="#,##0.0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Cambria"/>
      <family val="0"/>
      <charset val="1"/>
    </font>
    <font>
      <sz val="10"/>
      <color theme="1"/>
      <name val="Arial"/>
      <family val="0"/>
      <charset val="1"/>
    </font>
    <font>
      <b val="true"/>
      <u val="single"/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3F3F3"/>
        <bgColor rgb="FFEFEFEF"/>
      </patternFill>
    </fill>
    <fill>
      <patternFill patternType="solid">
        <fgColor rgb="FFE9EFE7"/>
        <bgColor rgb="FFEFEFEF"/>
      </patternFill>
    </fill>
    <fill>
      <patternFill patternType="solid">
        <fgColor rgb="FFCCCCCC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808080"/>
      </patternFill>
    </fill>
    <fill>
      <patternFill patternType="solid">
        <fgColor rgb="FFD9D9D9"/>
        <bgColor rgb="FFCCCCCC"/>
      </patternFill>
    </fill>
    <fill>
      <patternFill patternType="solid">
        <fgColor rgb="FFEFEFEF"/>
        <bgColor rgb="FFF3F3F3"/>
      </patternFill>
    </fill>
    <fill>
      <patternFill patternType="solid">
        <fgColor rgb="FFFFFFFF"/>
        <bgColor rgb="FFF3F3F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>
        <color rgb="FF999999"/>
      </top>
      <bottom style="thin"/>
      <diagonal/>
    </border>
    <border diagonalUp="false" diagonalDown="false">
      <left/>
      <right/>
      <top style="thin">
        <color rgb="FF999999"/>
      </top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3F3F3"/>
      <rgbColor rgb="FFE9EF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search?q=United+States+Dollar+to+Pound+sterling&amp;kgs=9604507dcd4c98ea&amp;shndl=32&amp;shem=ccye&amp;source=sh/x/ccy/ob/m1/1" TargetMode="External"/><Relationship Id="rId2" Type="http://schemas.openxmlformats.org/officeDocument/2006/relationships/hyperlink" Target="mailto:%20grants@centreforeffectivealtruism.org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.co/kgs/9mNAC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.co/kgs/9mNAC2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.co/kgs/9mNAC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9.63"/>
  </cols>
  <sheetData>
    <row r="1" customFormat="false" ht="15.7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2" t="s">
        <v>2</v>
      </c>
    </row>
    <row r="4" customFormat="false" ht="35.05" hidden="false" customHeight="false" outlineLevel="0" collapsed="false">
      <c r="A4" s="2" t="s">
        <v>3</v>
      </c>
    </row>
    <row r="5" customFormat="false" ht="15.75" hidden="false" customHeight="false" outlineLevel="0" collapsed="false">
      <c r="A5" s="1" t="s">
        <v>4</v>
      </c>
    </row>
  </sheetData>
  <hyperlinks>
    <hyperlink ref="A1" r:id="rId1" display="1. If you would like to calculate your expenses in a currency other than USD, you can fill in cell B1 with the conversion between your currency and USD (using Google's currency converter). Then, enter amounts in column D using your own currency, and they will automatically convert to USD in column F."/>
    <hyperlink ref="A5" r:id="rId2" display="5. Please email grants@centreforeffectivealtruism.org if you have any problems or suggestions for this template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4.51"/>
    <col collapsed="false" customWidth="true" hidden="false" outlineLevel="0" max="3" min="3" style="0" width="35.63"/>
    <col collapsed="false" customWidth="true" hidden="false" outlineLevel="0" max="4" min="4" style="0" width="18.5"/>
    <col collapsed="false" customWidth="true" hidden="false" outlineLevel="0" max="5" min="5" style="0" width="18"/>
    <col collapsed="false" customWidth="true" hidden="false" outlineLevel="0" max="6" min="6" style="0" width="13.13"/>
  </cols>
  <sheetData>
    <row r="1" customFormat="false" ht="15.75" hidden="false" customHeight="false" outlineLevel="0" collapsed="false">
      <c r="A1" s="3" t="s">
        <v>5</v>
      </c>
      <c r="B1" s="4" t="n">
        <f aca="false">1/1.1269</f>
        <v>0.887390185464549</v>
      </c>
      <c r="C1" s="5" t="s">
        <v>6</v>
      </c>
      <c r="E1" s="6" t="s">
        <v>7</v>
      </c>
      <c r="F1" s="7" t="n">
        <f aca="false">F3+F2</f>
        <v>32863.226</v>
      </c>
    </row>
    <row r="2" customFormat="false" ht="39.55" hidden="false" customHeight="false" outlineLevel="0" collapsed="false">
      <c r="A2" s="8" t="s">
        <v>8</v>
      </c>
      <c r="B2" s="9" t="n">
        <v>0.1</v>
      </c>
      <c r="C2" s="10" t="s">
        <v>9</v>
      </c>
      <c r="E2" s="11" t="s">
        <v>10</v>
      </c>
      <c r="F2" s="12" t="n">
        <f aca="false">F3*B2</f>
        <v>2987.566</v>
      </c>
    </row>
    <row r="3" customFormat="false" ht="15.75" hidden="false" customHeight="false" outlineLevel="0" collapsed="false">
      <c r="E3" s="13" t="s">
        <v>11</v>
      </c>
      <c r="F3" s="14" t="n">
        <f aca="false">SUM(F6:F41)</f>
        <v>29875.66</v>
      </c>
    </row>
    <row r="4" customFormat="false" ht="26.85" hidden="false" customHeight="false" outlineLevel="0" collapsed="false">
      <c r="A4" s="15" t="s">
        <v>12</v>
      </c>
      <c r="B4" s="15" t="s">
        <v>13</v>
      </c>
      <c r="C4" s="15" t="s">
        <v>14</v>
      </c>
      <c r="D4" s="16" t="s">
        <v>15</v>
      </c>
      <c r="E4" s="15" t="s">
        <v>16</v>
      </c>
      <c r="F4" s="15" t="s">
        <v>17</v>
      </c>
    </row>
    <row r="5" customFormat="false" ht="39.55" hidden="false" customHeight="false" outlineLevel="0" collapsed="false">
      <c r="A5" s="17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7" t="s">
        <v>22</v>
      </c>
    </row>
    <row r="6" customFormat="false" ht="52.2" hidden="false" customHeight="false" outlineLevel="0" collapsed="false">
      <c r="A6" s="18" t="s">
        <v>23</v>
      </c>
      <c r="B6" s="18" t="s">
        <v>24</v>
      </c>
      <c r="C6" s="18" t="s">
        <v>25</v>
      </c>
      <c r="D6" s="19" t="n">
        <f aca="false">4*5000</f>
        <v>20000</v>
      </c>
      <c r="E6" s="20" t="n">
        <f aca="false">F6/$F$1</f>
        <v>0.685812159767882</v>
      </c>
      <c r="F6" s="21" t="n">
        <f aca="false">D6/$B$1</f>
        <v>22538</v>
      </c>
    </row>
    <row r="7" customFormat="false" ht="90.25" hidden="false" customHeight="false" outlineLevel="0" collapsed="false">
      <c r="A7" s="18" t="s">
        <v>26</v>
      </c>
      <c r="B7" s="18" t="s">
        <v>27</v>
      </c>
      <c r="C7" s="18" t="s">
        <v>28</v>
      </c>
      <c r="D7" s="19" t="n">
        <f aca="false">480*3.5*$B$1</f>
        <v>1490.81551158044</v>
      </c>
      <c r="E7" s="20" t="n">
        <f aca="false">F7/$F$1</f>
        <v>0.0511209702906221</v>
      </c>
      <c r="F7" s="21" t="n">
        <f aca="false">D7/$B$1</f>
        <v>1680</v>
      </c>
    </row>
    <row r="8" customFormat="false" ht="77.6" hidden="false" customHeight="false" outlineLevel="0" collapsed="false">
      <c r="A8" s="18" t="s">
        <v>26</v>
      </c>
      <c r="B8" s="18" t="s">
        <v>29</v>
      </c>
      <c r="C8" s="18" t="s">
        <v>30</v>
      </c>
      <c r="D8" s="19" t="n">
        <f aca="false">480*3.5*$B$1</f>
        <v>1490.81551158044</v>
      </c>
      <c r="E8" s="20" t="n">
        <f aca="false">F8/$F$1</f>
        <v>0.0511209702906221</v>
      </c>
      <c r="F8" s="21" t="n">
        <f aca="false">D8/$B$1</f>
        <v>1680</v>
      </c>
    </row>
    <row r="9" customFormat="false" ht="39.55" hidden="false" customHeight="false" outlineLevel="0" collapsed="false">
      <c r="A9" s="18" t="s">
        <v>26</v>
      </c>
      <c r="B9" s="18" t="s">
        <v>31</v>
      </c>
      <c r="C9" s="18" t="s">
        <v>32</v>
      </c>
      <c r="D9" s="19" t="n">
        <v>1200</v>
      </c>
      <c r="E9" s="20" t="n">
        <f aca="false">F9/$F$1</f>
        <v>0.0411487295860729</v>
      </c>
      <c r="F9" s="21" t="n">
        <f aca="false">D9/$B$1</f>
        <v>1352.28</v>
      </c>
    </row>
    <row r="10" customFormat="false" ht="77.6" hidden="false" customHeight="false" outlineLevel="0" collapsed="false">
      <c r="A10" s="18" t="s">
        <v>26</v>
      </c>
      <c r="B10" s="18" t="s">
        <v>33</v>
      </c>
      <c r="C10" s="18" t="s">
        <v>34</v>
      </c>
      <c r="D10" s="19" t="n">
        <f aca="false">2400*$B$1</f>
        <v>2129.73644511492</v>
      </c>
      <c r="E10" s="20" t="n">
        <f aca="false">F10/$F$1</f>
        <v>0.0730299575580316</v>
      </c>
      <c r="F10" s="21" t="n">
        <f aca="false">D10/$B$1</f>
        <v>2400</v>
      </c>
    </row>
    <row r="11" customFormat="false" ht="26.85" hidden="false" customHeight="false" outlineLevel="0" collapsed="false">
      <c r="A11" s="18" t="s">
        <v>35</v>
      </c>
      <c r="B11" s="18" t="s">
        <v>36</v>
      </c>
      <c r="C11" s="18" t="s">
        <v>37</v>
      </c>
      <c r="D11" s="19" t="n">
        <v>200</v>
      </c>
      <c r="E11" s="20" t="n">
        <f aca="false">F11/$F$1</f>
        <v>0.00685812159767882</v>
      </c>
      <c r="F11" s="21" t="n">
        <f aca="false">D11/$B$1</f>
        <v>225.38</v>
      </c>
    </row>
    <row r="12" customFormat="false" ht="15.75" hidden="false" customHeight="false" outlineLevel="0" collapsed="false">
      <c r="A12" s="18"/>
      <c r="B12" s="18"/>
      <c r="C12" s="18"/>
      <c r="D12" s="22"/>
      <c r="E12" s="20" t="n">
        <f aca="false">F12/$F$1</f>
        <v>0</v>
      </c>
      <c r="F12" s="21" t="n">
        <f aca="false">D12/$B$1</f>
        <v>0</v>
      </c>
    </row>
    <row r="13" customFormat="false" ht="15.75" hidden="false" customHeight="false" outlineLevel="0" collapsed="false">
      <c r="A13" s="18"/>
      <c r="B13" s="18"/>
      <c r="C13" s="18"/>
      <c r="D13" s="22"/>
      <c r="E13" s="20" t="n">
        <f aca="false">F13/$F$1</f>
        <v>0</v>
      </c>
      <c r="F13" s="21" t="n">
        <f aca="false">D13/$B$1</f>
        <v>0</v>
      </c>
    </row>
    <row r="14" customFormat="false" ht="15.75" hidden="false" customHeight="false" outlineLevel="0" collapsed="false">
      <c r="A14" s="18"/>
      <c r="B14" s="18"/>
      <c r="C14" s="18"/>
      <c r="D14" s="22"/>
      <c r="E14" s="20" t="n">
        <f aca="false">F14/$F$1</f>
        <v>0</v>
      </c>
      <c r="F14" s="21" t="n">
        <f aca="false">D14/$B$1</f>
        <v>0</v>
      </c>
    </row>
    <row r="15" customFormat="false" ht="15.75" hidden="false" customHeight="false" outlineLevel="0" collapsed="false">
      <c r="A15" s="18"/>
      <c r="B15" s="18"/>
      <c r="C15" s="18"/>
      <c r="D15" s="22"/>
      <c r="E15" s="20" t="n">
        <f aca="false">F15/$F$1</f>
        <v>0</v>
      </c>
      <c r="F15" s="21" t="n">
        <f aca="false">D15/$B$1</f>
        <v>0</v>
      </c>
    </row>
    <row r="16" customFormat="false" ht="15.75" hidden="false" customHeight="false" outlineLevel="0" collapsed="false">
      <c r="A16" s="18"/>
      <c r="B16" s="18"/>
      <c r="C16" s="18"/>
      <c r="D16" s="22"/>
      <c r="E16" s="20" t="n">
        <f aca="false">F16/$F$1</f>
        <v>0</v>
      </c>
      <c r="F16" s="21" t="n">
        <f aca="false">D16/$B$1</f>
        <v>0</v>
      </c>
    </row>
    <row r="17" customFormat="false" ht="15.75" hidden="false" customHeight="false" outlineLevel="0" collapsed="false">
      <c r="A17" s="18"/>
      <c r="B17" s="18"/>
      <c r="C17" s="18"/>
      <c r="D17" s="22"/>
      <c r="E17" s="20" t="n">
        <f aca="false">F17/$F$1</f>
        <v>0</v>
      </c>
      <c r="F17" s="21" t="n">
        <f aca="false">D17/$B$1</f>
        <v>0</v>
      </c>
    </row>
    <row r="18" customFormat="false" ht="15.75" hidden="false" customHeight="false" outlineLevel="0" collapsed="false">
      <c r="A18" s="18"/>
      <c r="B18" s="18"/>
      <c r="C18" s="18"/>
      <c r="D18" s="22"/>
      <c r="E18" s="20" t="n">
        <f aca="false">F18/$F$1</f>
        <v>0</v>
      </c>
      <c r="F18" s="21" t="n">
        <f aca="false">D18/$B$1</f>
        <v>0</v>
      </c>
    </row>
    <row r="19" customFormat="false" ht="15.75" hidden="false" customHeight="false" outlineLevel="0" collapsed="false">
      <c r="A19" s="18"/>
      <c r="B19" s="18"/>
      <c r="C19" s="18"/>
      <c r="D19" s="22"/>
      <c r="E19" s="20" t="n">
        <f aca="false">F19/$F$1</f>
        <v>0</v>
      </c>
      <c r="F19" s="21" t="n">
        <f aca="false">D19/$B$1</f>
        <v>0</v>
      </c>
    </row>
    <row r="20" customFormat="false" ht="15.75" hidden="false" customHeight="false" outlineLevel="0" collapsed="false">
      <c r="A20" s="18"/>
      <c r="B20" s="18"/>
      <c r="C20" s="18"/>
      <c r="D20" s="22"/>
      <c r="E20" s="20" t="n">
        <f aca="false">F20/$F$1</f>
        <v>0</v>
      </c>
      <c r="F20" s="21" t="n">
        <f aca="false">D20/$B$1</f>
        <v>0</v>
      </c>
    </row>
    <row r="21" customFormat="false" ht="15.75" hidden="false" customHeight="false" outlineLevel="0" collapsed="false">
      <c r="A21" s="18"/>
      <c r="B21" s="18"/>
      <c r="C21" s="18"/>
      <c r="D21" s="22"/>
      <c r="E21" s="20" t="n">
        <f aca="false">F21/$F$1</f>
        <v>0</v>
      </c>
      <c r="F21" s="21" t="n">
        <f aca="false">D21/$B$1</f>
        <v>0</v>
      </c>
    </row>
    <row r="22" customFormat="false" ht="15.75" hidden="false" customHeight="false" outlineLevel="0" collapsed="false">
      <c r="A22" s="18"/>
      <c r="B22" s="18"/>
      <c r="C22" s="18"/>
      <c r="D22" s="22"/>
      <c r="E22" s="20" t="n">
        <f aca="false">F22/$F$1</f>
        <v>0</v>
      </c>
      <c r="F22" s="21" t="n">
        <f aca="false">D22/$B$1</f>
        <v>0</v>
      </c>
    </row>
    <row r="23" customFormat="false" ht="15.75" hidden="false" customHeight="false" outlineLevel="0" collapsed="false">
      <c r="A23" s="18"/>
      <c r="B23" s="18"/>
      <c r="C23" s="18"/>
      <c r="D23" s="22"/>
      <c r="E23" s="20" t="n">
        <f aca="false">F23/$F$1</f>
        <v>0</v>
      </c>
      <c r="F23" s="21" t="n">
        <f aca="false">D23/$B$1</f>
        <v>0</v>
      </c>
    </row>
    <row r="24" customFormat="false" ht="15.75" hidden="false" customHeight="false" outlineLevel="0" collapsed="false">
      <c r="A24" s="18"/>
      <c r="B24" s="18"/>
      <c r="C24" s="18"/>
      <c r="D24" s="22"/>
      <c r="E24" s="20" t="n">
        <f aca="false">F24/$F$1</f>
        <v>0</v>
      </c>
      <c r="F24" s="21" t="n">
        <f aca="false">D24/$B$1</f>
        <v>0</v>
      </c>
    </row>
    <row r="25" customFormat="false" ht="15.75" hidden="false" customHeight="false" outlineLevel="0" collapsed="false">
      <c r="A25" s="18"/>
      <c r="B25" s="18"/>
      <c r="C25" s="18"/>
      <c r="D25" s="22"/>
      <c r="E25" s="20" t="n">
        <f aca="false">F25/$F$1</f>
        <v>0</v>
      </c>
      <c r="F25" s="21" t="n">
        <f aca="false">D25/$B$1</f>
        <v>0</v>
      </c>
    </row>
    <row r="26" customFormat="false" ht="15.75" hidden="false" customHeight="false" outlineLevel="0" collapsed="false">
      <c r="A26" s="18"/>
      <c r="B26" s="18"/>
      <c r="C26" s="18"/>
      <c r="D26" s="22"/>
      <c r="E26" s="20" t="n">
        <f aca="false">F26/$F$1</f>
        <v>0</v>
      </c>
      <c r="F26" s="21" t="n">
        <f aca="false">D26/$B$1</f>
        <v>0</v>
      </c>
    </row>
    <row r="27" customFormat="false" ht="15.75" hidden="false" customHeight="false" outlineLevel="0" collapsed="false">
      <c r="A27" s="18"/>
      <c r="B27" s="18"/>
      <c r="C27" s="18"/>
      <c r="D27" s="22"/>
      <c r="E27" s="20" t="n">
        <f aca="false">F27/$F$1</f>
        <v>0</v>
      </c>
      <c r="F27" s="21" t="n">
        <f aca="false">D27/$B$1</f>
        <v>0</v>
      </c>
    </row>
    <row r="28" customFormat="false" ht="15.75" hidden="false" customHeight="false" outlineLevel="0" collapsed="false">
      <c r="A28" s="18"/>
      <c r="B28" s="18"/>
      <c r="C28" s="18"/>
      <c r="D28" s="22"/>
      <c r="E28" s="20" t="n">
        <f aca="false">F28/$F$1</f>
        <v>0</v>
      </c>
      <c r="F28" s="21" t="n">
        <f aca="false">D28/$B$1</f>
        <v>0</v>
      </c>
    </row>
    <row r="29" customFormat="false" ht="15.75" hidden="false" customHeight="false" outlineLevel="0" collapsed="false">
      <c r="A29" s="18"/>
      <c r="B29" s="18"/>
      <c r="C29" s="18"/>
      <c r="D29" s="22"/>
      <c r="E29" s="20" t="n">
        <f aca="false">F29/$F$1</f>
        <v>0</v>
      </c>
      <c r="F29" s="21" t="n">
        <f aca="false">D29/$B$1</f>
        <v>0</v>
      </c>
    </row>
    <row r="30" customFormat="false" ht="15.75" hidden="false" customHeight="false" outlineLevel="0" collapsed="false">
      <c r="A30" s="18"/>
      <c r="B30" s="18"/>
      <c r="C30" s="18"/>
      <c r="D30" s="22"/>
      <c r="E30" s="20" t="n">
        <f aca="false">F30/$F$1</f>
        <v>0</v>
      </c>
      <c r="F30" s="21" t="n">
        <f aca="false">D30/$B$1</f>
        <v>0</v>
      </c>
    </row>
    <row r="31" customFormat="false" ht="15.75" hidden="false" customHeight="false" outlineLevel="0" collapsed="false">
      <c r="A31" s="18"/>
      <c r="B31" s="18"/>
      <c r="C31" s="18"/>
      <c r="D31" s="22"/>
      <c r="E31" s="20" t="n">
        <f aca="false">F31/$F$1</f>
        <v>0</v>
      </c>
      <c r="F31" s="21" t="n">
        <f aca="false">D31/$B$1</f>
        <v>0</v>
      </c>
    </row>
    <row r="32" customFormat="false" ht="15.75" hidden="false" customHeight="false" outlineLevel="0" collapsed="false">
      <c r="A32" s="18"/>
      <c r="B32" s="18"/>
      <c r="C32" s="18"/>
      <c r="D32" s="22"/>
      <c r="E32" s="20" t="n">
        <f aca="false">F32/$F$1</f>
        <v>0</v>
      </c>
      <c r="F32" s="21" t="n">
        <f aca="false">D32/$B$1</f>
        <v>0</v>
      </c>
    </row>
    <row r="33" customFormat="false" ht="15.75" hidden="false" customHeight="false" outlineLevel="0" collapsed="false">
      <c r="A33" s="18"/>
      <c r="B33" s="18"/>
      <c r="C33" s="18"/>
      <c r="D33" s="22"/>
      <c r="E33" s="20" t="n">
        <f aca="false">F33/$F$1</f>
        <v>0</v>
      </c>
      <c r="F33" s="21" t="n">
        <f aca="false">D33/$B$1</f>
        <v>0</v>
      </c>
    </row>
    <row r="34" customFormat="false" ht="15.75" hidden="false" customHeight="false" outlineLevel="0" collapsed="false">
      <c r="A34" s="18"/>
      <c r="B34" s="18"/>
      <c r="C34" s="18"/>
      <c r="D34" s="22"/>
      <c r="E34" s="20" t="n">
        <f aca="false">F34/$F$1</f>
        <v>0</v>
      </c>
      <c r="F34" s="21" t="n">
        <f aca="false">D34/$B$1</f>
        <v>0</v>
      </c>
    </row>
    <row r="35" customFormat="false" ht="15.75" hidden="false" customHeight="false" outlineLevel="0" collapsed="false">
      <c r="A35" s="18"/>
      <c r="B35" s="18"/>
      <c r="C35" s="18"/>
      <c r="D35" s="22"/>
      <c r="E35" s="20" t="n">
        <f aca="false">F35/$F$1</f>
        <v>0</v>
      </c>
      <c r="F35" s="21" t="n">
        <f aca="false">D35/$B$1</f>
        <v>0</v>
      </c>
    </row>
    <row r="36" customFormat="false" ht="15.75" hidden="false" customHeight="false" outlineLevel="0" collapsed="false">
      <c r="A36" s="18"/>
      <c r="B36" s="18"/>
      <c r="C36" s="18"/>
      <c r="D36" s="22"/>
      <c r="E36" s="20" t="n">
        <f aca="false">F36/$F$1</f>
        <v>0</v>
      </c>
      <c r="F36" s="21" t="n">
        <f aca="false">D36/$B$1</f>
        <v>0</v>
      </c>
    </row>
    <row r="37" customFormat="false" ht="15.75" hidden="false" customHeight="false" outlineLevel="0" collapsed="false">
      <c r="A37" s="18"/>
      <c r="B37" s="18"/>
      <c r="C37" s="18"/>
      <c r="D37" s="22"/>
      <c r="E37" s="20" t="n">
        <f aca="false">F37/$F$1</f>
        <v>0</v>
      </c>
      <c r="F37" s="21" t="n">
        <f aca="false">D37/$B$1</f>
        <v>0</v>
      </c>
    </row>
    <row r="38" customFormat="false" ht="15.75" hidden="false" customHeight="false" outlineLevel="0" collapsed="false">
      <c r="A38" s="18"/>
      <c r="B38" s="18"/>
      <c r="C38" s="18"/>
      <c r="D38" s="22"/>
      <c r="E38" s="20" t="n">
        <f aca="false">F38/$F$1</f>
        <v>0</v>
      </c>
      <c r="F38" s="21" t="n">
        <f aca="false">D38/$B$1</f>
        <v>0</v>
      </c>
    </row>
    <row r="39" customFormat="false" ht="15.75" hidden="false" customHeight="false" outlineLevel="0" collapsed="false">
      <c r="A39" s="18"/>
      <c r="B39" s="18"/>
      <c r="C39" s="18"/>
      <c r="D39" s="22"/>
      <c r="E39" s="20" t="n">
        <f aca="false">F39/$F$1</f>
        <v>0</v>
      </c>
      <c r="F39" s="21" t="n">
        <f aca="false">D39/$B$1</f>
        <v>0</v>
      </c>
    </row>
    <row r="40" customFormat="false" ht="15.75" hidden="false" customHeight="false" outlineLevel="0" collapsed="false">
      <c r="A40" s="18"/>
      <c r="B40" s="18"/>
      <c r="C40" s="18"/>
      <c r="D40" s="22"/>
      <c r="E40" s="20" t="n">
        <f aca="false">F40/$F$1</f>
        <v>0</v>
      </c>
      <c r="F40" s="21" t="n">
        <f aca="false">D40/$B$1</f>
        <v>0</v>
      </c>
    </row>
    <row r="41" customFormat="false" ht="15.75" hidden="false" customHeight="false" outlineLevel="0" collapsed="false">
      <c r="A41" s="18"/>
      <c r="B41" s="18"/>
      <c r="C41" s="18"/>
      <c r="D41" s="22"/>
      <c r="E41" s="20" t="n">
        <f aca="false">F41/$F$1</f>
        <v>0</v>
      </c>
      <c r="F41" s="21" t="n">
        <f aca="false">D41/$B$1</f>
        <v>0</v>
      </c>
    </row>
  </sheetData>
  <dataValidations count="1">
    <dataValidation allowBlank="true" errorStyle="stop" operator="between" showDropDown="false" showErrorMessage="false" showInputMessage="false" sqref="A6:A41" type="list">
      <formula1>"Personnel,Materials,Operations,Travel,Other"</formula1>
      <formula2>0</formula2>
    </dataValidation>
  </dataValidations>
  <hyperlinks>
    <hyperlink ref="A1" r:id="rId1" display="Currency *   1 USD =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4.51"/>
    <col collapsed="false" customWidth="true" hidden="false" outlineLevel="0" max="3" min="3" style="0" width="35.63"/>
    <col collapsed="false" customWidth="true" hidden="false" outlineLevel="0" max="4" min="4" style="0" width="18.5"/>
    <col collapsed="false" customWidth="true" hidden="false" outlineLevel="0" max="5" min="5" style="0" width="18"/>
    <col collapsed="false" customWidth="true" hidden="false" outlineLevel="0" max="6" min="6" style="0" width="13.13"/>
  </cols>
  <sheetData>
    <row r="1" customFormat="false" ht="15.75" hidden="false" customHeight="false" outlineLevel="0" collapsed="false">
      <c r="A1" s="3" t="s">
        <v>5</v>
      </c>
      <c r="B1" s="4" t="n">
        <f aca="false">1/1.1269</f>
        <v>0.887390185464549</v>
      </c>
      <c r="C1" s="5" t="s">
        <v>6</v>
      </c>
      <c r="E1" s="6" t="s">
        <v>7</v>
      </c>
      <c r="F1" s="7" t="n">
        <f aca="false">F3+F2</f>
        <v>53477.732</v>
      </c>
    </row>
    <row r="2" customFormat="false" ht="39.55" hidden="false" customHeight="false" outlineLevel="0" collapsed="false">
      <c r="A2" s="8" t="s">
        <v>8</v>
      </c>
      <c r="B2" s="9" t="n">
        <v>0.1</v>
      </c>
      <c r="C2" s="10" t="s">
        <v>9</v>
      </c>
      <c r="E2" s="11" t="s">
        <v>10</v>
      </c>
      <c r="F2" s="12" t="n">
        <f aca="false">F3*B2</f>
        <v>4861.612</v>
      </c>
    </row>
    <row r="3" customFormat="false" ht="15.75" hidden="false" customHeight="false" outlineLevel="0" collapsed="false">
      <c r="E3" s="13" t="s">
        <v>11</v>
      </c>
      <c r="F3" s="14" t="n">
        <f aca="false">SUM(F6:F41)</f>
        <v>48616.12</v>
      </c>
    </row>
    <row r="4" customFormat="false" ht="26.85" hidden="false" customHeight="false" outlineLevel="0" collapsed="false">
      <c r="A4" s="15" t="s">
        <v>12</v>
      </c>
      <c r="B4" s="15" t="s">
        <v>13</v>
      </c>
      <c r="C4" s="15" t="s">
        <v>14</v>
      </c>
      <c r="D4" s="16" t="s">
        <v>15</v>
      </c>
      <c r="E4" s="15" t="s">
        <v>16</v>
      </c>
      <c r="F4" s="15" t="s">
        <v>17</v>
      </c>
    </row>
    <row r="5" customFormat="false" ht="39.55" hidden="false" customHeight="false" outlineLevel="0" collapsed="false">
      <c r="A5" s="17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7" t="s">
        <v>22</v>
      </c>
    </row>
    <row r="6" customFormat="false" ht="52.2" hidden="false" customHeight="false" outlineLevel="0" collapsed="false">
      <c r="A6" s="18" t="s">
        <v>23</v>
      </c>
      <c r="B6" s="18" t="s">
        <v>38</v>
      </c>
      <c r="C6" s="18" t="s">
        <v>25</v>
      </c>
      <c r="D6" s="19" t="n">
        <f aca="false">6*5000</f>
        <v>30000</v>
      </c>
      <c r="E6" s="20" t="n">
        <f aca="false">F6/$F$1</f>
        <v>0.632169666432376</v>
      </c>
      <c r="F6" s="21" t="n">
        <f aca="false">D6/$B$1</f>
        <v>33807</v>
      </c>
    </row>
    <row r="7" customFormat="false" ht="90.25" hidden="false" customHeight="false" outlineLevel="0" collapsed="false">
      <c r="A7" s="18" t="s">
        <v>26</v>
      </c>
      <c r="B7" s="18" t="s">
        <v>39</v>
      </c>
      <c r="C7" s="18" t="s">
        <v>40</v>
      </c>
      <c r="D7" s="19" t="n">
        <f aca="false">720*3.5*$B$1</f>
        <v>2236.22326737066</v>
      </c>
      <c r="E7" s="20" t="n">
        <f aca="false">F7/$F$1</f>
        <v>0.047122417233401</v>
      </c>
      <c r="F7" s="21" t="n">
        <f aca="false">D7/$B$1</f>
        <v>2520</v>
      </c>
    </row>
    <row r="8" customFormat="false" ht="77.6" hidden="false" customHeight="false" outlineLevel="0" collapsed="false">
      <c r="A8" s="18" t="s">
        <v>26</v>
      </c>
      <c r="B8" s="18" t="s">
        <v>41</v>
      </c>
      <c r="C8" s="18" t="s">
        <v>42</v>
      </c>
      <c r="D8" s="19" t="n">
        <f aca="false">560*3.5*$B$1</f>
        <v>1739.28476351052</v>
      </c>
      <c r="E8" s="20" t="n">
        <f aca="false">F8/$F$1</f>
        <v>0.0366507689593119</v>
      </c>
      <c r="F8" s="21" t="n">
        <f aca="false">D8/$B$1</f>
        <v>1960</v>
      </c>
    </row>
    <row r="9" customFormat="false" ht="90.25" hidden="false" customHeight="false" outlineLevel="0" collapsed="false">
      <c r="A9" s="18" t="s">
        <v>26</v>
      </c>
      <c r="B9" s="18" t="s">
        <v>43</v>
      </c>
      <c r="C9" s="18" t="s">
        <v>44</v>
      </c>
      <c r="D9" s="19" t="n">
        <f aca="false">720*3.5*$B$1</f>
        <v>2236.22326737066</v>
      </c>
      <c r="E9" s="20" t="n">
        <f aca="false">F9/$F$1</f>
        <v>0.047122417233401</v>
      </c>
      <c r="F9" s="21" t="n">
        <f aca="false">D9/$B$1</f>
        <v>2520</v>
      </c>
    </row>
    <row r="10" customFormat="false" ht="39.55" hidden="false" customHeight="false" outlineLevel="0" collapsed="false">
      <c r="A10" s="18" t="s">
        <v>26</v>
      </c>
      <c r="B10" s="18" t="s">
        <v>45</v>
      </c>
      <c r="C10" s="18" t="s">
        <v>46</v>
      </c>
      <c r="D10" s="19" t="n">
        <v>2000</v>
      </c>
      <c r="E10" s="20" t="n">
        <f aca="false">F10/$F$1</f>
        <v>0.0421446444288251</v>
      </c>
      <c r="F10" s="21" t="n">
        <f aca="false">D10/$B$1</f>
        <v>2253.8</v>
      </c>
    </row>
    <row r="11" customFormat="false" ht="77.6" hidden="false" customHeight="false" outlineLevel="0" collapsed="false">
      <c r="A11" s="18" t="s">
        <v>26</v>
      </c>
      <c r="B11" s="18" t="s">
        <v>33</v>
      </c>
      <c r="C11" s="18" t="s">
        <v>34</v>
      </c>
      <c r="D11" s="19" t="n">
        <f aca="false">2400*$B$1</f>
        <v>2129.73644511492</v>
      </c>
      <c r="E11" s="20" t="n">
        <f aca="false">F11/$F$1</f>
        <v>0.0448784926032391</v>
      </c>
      <c r="F11" s="21" t="n">
        <f aca="false">D11/$B$1</f>
        <v>2400</v>
      </c>
    </row>
    <row r="12" customFormat="false" ht="39.55" hidden="false" customHeight="false" outlineLevel="0" collapsed="false">
      <c r="A12" s="18" t="s">
        <v>47</v>
      </c>
      <c r="B12" s="18" t="s">
        <v>48</v>
      </c>
      <c r="C12" s="18" t="s">
        <v>37</v>
      </c>
      <c r="D12" s="19" t="n">
        <v>2500</v>
      </c>
      <c r="E12" s="20" t="n">
        <f aca="false">F12/$F$1</f>
        <v>0.0526808055360313</v>
      </c>
      <c r="F12" s="21" t="n">
        <f aca="false">D12/$B$1</f>
        <v>2817.25</v>
      </c>
    </row>
    <row r="13" customFormat="false" ht="26.85" hidden="false" customHeight="false" outlineLevel="0" collapsed="false">
      <c r="A13" s="18" t="s">
        <v>35</v>
      </c>
      <c r="B13" s="18" t="s">
        <v>36</v>
      </c>
      <c r="C13" s="18" t="s">
        <v>37</v>
      </c>
      <c r="D13" s="19" t="n">
        <v>300</v>
      </c>
      <c r="E13" s="20" t="n">
        <f aca="false">F13/$F$1</f>
        <v>0.00632169666432376</v>
      </c>
      <c r="F13" s="21" t="n">
        <f aca="false">D13/$B$1</f>
        <v>338.07</v>
      </c>
    </row>
    <row r="14" customFormat="false" ht="15.75" hidden="false" customHeight="false" outlineLevel="0" collapsed="false">
      <c r="A14" s="18"/>
      <c r="B14" s="18"/>
      <c r="C14" s="18"/>
      <c r="D14" s="22"/>
      <c r="E14" s="20" t="n">
        <f aca="false">F14/$F$1</f>
        <v>0</v>
      </c>
      <c r="F14" s="21" t="n">
        <f aca="false">D14/$B$1</f>
        <v>0</v>
      </c>
    </row>
    <row r="15" customFormat="false" ht="15.75" hidden="false" customHeight="false" outlineLevel="0" collapsed="false">
      <c r="A15" s="18"/>
      <c r="B15" s="18"/>
      <c r="C15" s="18"/>
      <c r="D15" s="22"/>
      <c r="E15" s="20" t="n">
        <f aca="false">F15/$F$1</f>
        <v>0</v>
      </c>
      <c r="F15" s="21" t="n">
        <f aca="false">D15/$B$1</f>
        <v>0</v>
      </c>
    </row>
    <row r="16" customFormat="false" ht="15.75" hidden="false" customHeight="false" outlineLevel="0" collapsed="false">
      <c r="A16" s="18"/>
      <c r="B16" s="18"/>
      <c r="C16" s="18"/>
      <c r="D16" s="22"/>
      <c r="E16" s="20" t="n">
        <f aca="false">F16/$F$1</f>
        <v>0</v>
      </c>
      <c r="F16" s="21" t="n">
        <f aca="false">D16/$B$1</f>
        <v>0</v>
      </c>
    </row>
    <row r="17" customFormat="false" ht="15.75" hidden="false" customHeight="false" outlineLevel="0" collapsed="false">
      <c r="A17" s="18"/>
      <c r="B17" s="18"/>
      <c r="C17" s="18"/>
      <c r="D17" s="22"/>
      <c r="E17" s="20" t="n">
        <f aca="false">F17/$F$1</f>
        <v>0</v>
      </c>
      <c r="F17" s="21" t="n">
        <f aca="false">D17/$B$1</f>
        <v>0</v>
      </c>
    </row>
    <row r="18" customFormat="false" ht="15.75" hidden="false" customHeight="false" outlineLevel="0" collapsed="false">
      <c r="A18" s="18"/>
      <c r="B18" s="18"/>
      <c r="C18" s="18"/>
      <c r="D18" s="22"/>
      <c r="E18" s="20" t="n">
        <f aca="false">F18/$F$1</f>
        <v>0</v>
      </c>
      <c r="F18" s="21" t="n">
        <f aca="false">D18/$B$1</f>
        <v>0</v>
      </c>
    </row>
    <row r="19" customFormat="false" ht="15.75" hidden="false" customHeight="false" outlineLevel="0" collapsed="false">
      <c r="A19" s="18"/>
      <c r="B19" s="18"/>
      <c r="C19" s="18"/>
      <c r="D19" s="22"/>
      <c r="E19" s="20" t="n">
        <f aca="false">F19/$F$1</f>
        <v>0</v>
      </c>
      <c r="F19" s="21" t="n">
        <f aca="false">D19/$B$1</f>
        <v>0</v>
      </c>
    </row>
    <row r="20" customFormat="false" ht="15.75" hidden="false" customHeight="false" outlineLevel="0" collapsed="false">
      <c r="A20" s="18"/>
      <c r="B20" s="18"/>
      <c r="C20" s="18"/>
      <c r="D20" s="22"/>
      <c r="E20" s="20" t="n">
        <f aca="false">F20/$F$1</f>
        <v>0</v>
      </c>
      <c r="F20" s="21" t="n">
        <f aca="false">D20/$B$1</f>
        <v>0</v>
      </c>
    </row>
    <row r="21" customFormat="false" ht="15.75" hidden="false" customHeight="false" outlineLevel="0" collapsed="false">
      <c r="A21" s="18"/>
      <c r="B21" s="18"/>
      <c r="C21" s="18"/>
      <c r="D21" s="22"/>
      <c r="E21" s="20" t="n">
        <f aca="false">F21/$F$1</f>
        <v>0</v>
      </c>
      <c r="F21" s="21" t="n">
        <f aca="false">D21/$B$1</f>
        <v>0</v>
      </c>
    </row>
    <row r="22" customFormat="false" ht="15.75" hidden="false" customHeight="false" outlineLevel="0" collapsed="false">
      <c r="A22" s="18"/>
      <c r="B22" s="18"/>
      <c r="C22" s="18"/>
      <c r="D22" s="22"/>
      <c r="E22" s="20" t="n">
        <f aca="false">F22/$F$1</f>
        <v>0</v>
      </c>
      <c r="F22" s="21" t="n">
        <f aca="false">D22/$B$1</f>
        <v>0</v>
      </c>
    </row>
    <row r="23" customFormat="false" ht="15.75" hidden="false" customHeight="false" outlineLevel="0" collapsed="false">
      <c r="A23" s="18"/>
      <c r="B23" s="18"/>
      <c r="C23" s="18"/>
      <c r="D23" s="22"/>
      <c r="E23" s="20" t="n">
        <f aca="false">F23/$F$1</f>
        <v>0</v>
      </c>
      <c r="F23" s="21" t="n">
        <f aca="false">D23/$B$1</f>
        <v>0</v>
      </c>
    </row>
    <row r="24" customFormat="false" ht="15.75" hidden="false" customHeight="false" outlineLevel="0" collapsed="false">
      <c r="A24" s="18"/>
      <c r="B24" s="18"/>
      <c r="C24" s="18"/>
      <c r="D24" s="22"/>
      <c r="E24" s="20" t="n">
        <f aca="false">F24/$F$1</f>
        <v>0</v>
      </c>
      <c r="F24" s="21" t="n">
        <f aca="false">D24/$B$1</f>
        <v>0</v>
      </c>
    </row>
    <row r="25" customFormat="false" ht="15.75" hidden="false" customHeight="false" outlineLevel="0" collapsed="false">
      <c r="A25" s="18"/>
      <c r="B25" s="18"/>
      <c r="C25" s="18"/>
      <c r="D25" s="22"/>
      <c r="E25" s="20" t="n">
        <f aca="false">F25/$F$1</f>
        <v>0</v>
      </c>
      <c r="F25" s="21" t="n">
        <f aca="false">D25/$B$1</f>
        <v>0</v>
      </c>
    </row>
    <row r="26" customFormat="false" ht="15.75" hidden="false" customHeight="false" outlineLevel="0" collapsed="false">
      <c r="A26" s="18"/>
      <c r="B26" s="18"/>
      <c r="C26" s="18"/>
      <c r="D26" s="22"/>
      <c r="E26" s="20" t="n">
        <f aca="false">F26/$F$1</f>
        <v>0</v>
      </c>
      <c r="F26" s="21" t="n">
        <f aca="false">D26/$B$1</f>
        <v>0</v>
      </c>
    </row>
    <row r="27" customFormat="false" ht="15.75" hidden="false" customHeight="false" outlineLevel="0" collapsed="false">
      <c r="A27" s="18"/>
      <c r="B27" s="18"/>
      <c r="C27" s="18"/>
      <c r="D27" s="22"/>
      <c r="E27" s="20" t="n">
        <f aca="false">F27/$F$1</f>
        <v>0</v>
      </c>
      <c r="F27" s="21" t="n">
        <f aca="false">D27/$B$1</f>
        <v>0</v>
      </c>
    </row>
    <row r="28" customFormat="false" ht="15.75" hidden="false" customHeight="false" outlineLevel="0" collapsed="false">
      <c r="A28" s="18"/>
      <c r="B28" s="18"/>
      <c r="C28" s="18"/>
      <c r="D28" s="22"/>
      <c r="E28" s="20" t="n">
        <f aca="false">F28/$F$1</f>
        <v>0</v>
      </c>
      <c r="F28" s="21" t="n">
        <f aca="false">D28/$B$1</f>
        <v>0</v>
      </c>
    </row>
    <row r="29" customFormat="false" ht="15.75" hidden="false" customHeight="false" outlineLevel="0" collapsed="false">
      <c r="A29" s="18"/>
      <c r="B29" s="18"/>
      <c r="C29" s="18"/>
      <c r="D29" s="22"/>
      <c r="E29" s="20" t="n">
        <f aca="false">F29/$F$1</f>
        <v>0</v>
      </c>
      <c r="F29" s="21" t="n">
        <f aca="false">D29/$B$1</f>
        <v>0</v>
      </c>
    </row>
    <row r="30" customFormat="false" ht="15.75" hidden="false" customHeight="false" outlineLevel="0" collapsed="false">
      <c r="A30" s="18"/>
      <c r="B30" s="18"/>
      <c r="C30" s="18"/>
      <c r="D30" s="22"/>
      <c r="E30" s="20" t="n">
        <f aca="false">F30/$F$1</f>
        <v>0</v>
      </c>
      <c r="F30" s="21" t="n">
        <f aca="false">D30/$B$1</f>
        <v>0</v>
      </c>
    </row>
    <row r="31" customFormat="false" ht="15.75" hidden="false" customHeight="false" outlineLevel="0" collapsed="false">
      <c r="A31" s="18"/>
      <c r="B31" s="18"/>
      <c r="C31" s="18"/>
      <c r="D31" s="22"/>
      <c r="E31" s="20" t="n">
        <f aca="false">F31/$F$1</f>
        <v>0</v>
      </c>
      <c r="F31" s="21" t="n">
        <f aca="false">D31/$B$1</f>
        <v>0</v>
      </c>
    </row>
    <row r="32" customFormat="false" ht="15.75" hidden="false" customHeight="false" outlineLevel="0" collapsed="false">
      <c r="A32" s="18"/>
      <c r="B32" s="18"/>
      <c r="C32" s="18"/>
      <c r="D32" s="22"/>
      <c r="E32" s="20" t="n">
        <f aca="false">F32/$F$1</f>
        <v>0</v>
      </c>
      <c r="F32" s="21" t="n">
        <f aca="false">D32/$B$1</f>
        <v>0</v>
      </c>
    </row>
    <row r="33" customFormat="false" ht="15.75" hidden="false" customHeight="false" outlineLevel="0" collapsed="false">
      <c r="A33" s="18"/>
      <c r="B33" s="18"/>
      <c r="C33" s="18"/>
      <c r="D33" s="22"/>
      <c r="E33" s="20" t="n">
        <f aca="false">F33/$F$1</f>
        <v>0</v>
      </c>
      <c r="F33" s="21" t="n">
        <f aca="false">D33/$B$1</f>
        <v>0</v>
      </c>
    </row>
    <row r="34" customFormat="false" ht="15.75" hidden="false" customHeight="false" outlineLevel="0" collapsed="false">
      <c r="A34" s="18"/>
      <c r="B34" s="18"/>
      <c r="C34" s="18"/>
      <c r="D34" s="22"/>
      <c r="E34" s="20" t="n">
        <f aca="false">F34/$F$1</f>
        <v>0</v>
      </c>
      <c r="F34" s="21" t="n">
        <f aca="false">D34/$B$1</f>
        <v>0</v>
      </c>
    </row>
    <row r="35" customFormat="false" ht="15.75" hidden="false" customHeight="false" outlineLevel="0" collapsed="false">
      <c r="A35" s="18"/>
      <c r="B35" s="18"/>
      <c r="C35" s="18"/>
      <c r="D35" s="22"/>
      <c r="E35" s="20" t="n">
        <f aca="false">F35/$F$1</f>
        <v>0</v>
      </c>
      <c r="F35" s="21" t="n">
        <f aca="false">D35/$B$1</f>
        <v>0</v>
      </c>
    </row>
    <row r="36" customFormat="false" ht="15.75" hidden="false" customHeight="false" outlineLevel="0" collapsed="false">
      <c r="A36" s="18"/>
      <c r="B36" s="18"/>
      <c r="C36" s="18"/>
      <c r="D36" s="22"/>
      <c r="E36" s="20" t="n">
        <f aca="false">F36/$F$1</f>
        <v>0</v>
      </c>
      <c r="F36" s="21" t="n">
        <f aca="false">D36/$B$1</f>
        <v>0</v>
      </c>
    </row>
    <row r="37" customFormat="false" ht="15.75" hidden="false" customHeight="false" outlineLevel="0" collapsed="false">
      <c r="A37" s="18"/>
      <c r="B37" s="18"/>
      <c r="C37" s="18"/>
      <c r="D37" s="22"/>
      <c r="E37" s="20" t="n">
        <f aca="false">F37/$F$1</f>
        <v>0</v>
      </c>
      <c r="F37" s="21" t="n">
        <f aca="false">D37/$B$1</f>
        <v>0</v>
      </c>
    </row>
    <row r="38" customFormat="false" ht="15.75" hidden="false" customHeight="false" outlineLevel="0" collapsed="false">
      <c r="A38" s="18"/>
      <c r="B38" s="18"/>
      <c r="C38" s="18"/>
      <c r="D38" s="22"/>
      <c r="E38" s="20" t="n">
        <f aca="false">F38/$F$1</f>
        <v>0</v>
      </c>
      <c r="F38" s="21" t="n">
        <f aca="false">D38/$B$1</f>
        <v>0</v>
      </c>
    </row>
    <row r="39" customFormat="false" ht="15.75" hidden="false" customHeight="false" outlineLevel="0" collapsed="false">
      <c r="A39" s="18"/>
      <c r="B39" s="18"/>
      <c r="C39" s="18"/>
      <c r="D39" s="22"/>
      <c r="E39" s="20" t="n">
        <f aca="false">F39/$F$1</f>
        <v>0</v>
      </c>
      <c r="F39" s="21" t="n">
        <f aca="false">D39/$B$1</f>
        <v>0</v>
      </c>
    </row>
    <row r="40" customFormat="false" ht="15.75" hidden="false" customHeight="false" outlineLevel="0" collapsed="false">
      <c r="A40" s="18"/>
      <c r="B40" s="18"/>
      <c r="C40" s="18"/>
      <c r="D40" s="22"/>
      <c r="E40" s="20" t="n">
        <f aca="false">F40/$F$1</f>
        <v>0</v>
      </c>
      <c r="F40" s="21" t="n">
        <f aca="false">D40/$B$1</f>
        <v>0</v>
      </c>
    </row>
    <row r="41" customFormat="false" ht="15.75" hidden="false" customHeight="false" outlineLevel="0" collapsed="false">
      <c r="A41" s="18"/>
      <c r="B41" s="18"/>
      <c r="C41" s="18"/>
      <c r="D41" s="22"/>
      <c r="E41" s="20" t="n">
        <f aca="false">F41/$F$1</f>
        <v>0</v>
      </c>
      <c r="F41" s="21" t="n">
        <f aca="false">D41/$B$1</f>
        <v>0</v>
      </c>
    </row>
  </sheetData>
  <dataValidations count="1">
    <dataValidation allowBlank="true" errorStyle="stop" operator="between" showDropDown="false" showErrorMessage="false" showInputMessage="false" sqref="A6:A41" type="list">
      <formula1>"Personnel,Materials,Operations,Travel,Other"</formula1>
      <formula2>0</formula2>
    </dataValidation>
  </dataValidations>
  <hyperlinks>
    <hyperlink ref="A1" r:id="rId1" display="Currency *   1 USD =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4.51"/>
    <col collapsed="false" customWidth="true" hidden="false" outlineLevel="0" max="3" min="3" style="0" width="35.63"/>
    <col collapsed="false" customWidth="true" hidden="false" outlineLevel="0" max="4" min="4" style="0" width="18.5"/>
    <col collapsed="false" customWidth="true" hidden="false" outlineLevel="0" max="5" min="5" style="0" width="18"/>
    <col collapsed="false" customWidth="true" hidden="false" outlineLevel="0" max="6" min="6" style="0" width="13.13"/>
  </cols>
  <sheetData>
    <row r="1" customFormat="false" ht="15.75" hidden="false" customHeight="false" outlineLevel="0" collapsed="false">
      <c r="A1" s="3" t="s">
        <v>5</v>
      </c>
      <c r="B1" s="4" t="n">
        <f aca="false">1/1.1269</f>
        <v>0.887390185464549</v>
      </c>
      <c r="C1" s="5" t="s">
        <v>6</v>
      </c>
      <c r="E1" s="6" t="s">
        <v>7</v>
      </c>
      <c r="F1" s="7" t="n">
        <f aca="false">F3+F2</f>
        <v>61535.067</v>
      </c>
    </row>
    <row r="2" customFormat="false" ht="39.55" hidden="false" customHeight="false" outlineLevel="0" collapsed="false">
      <c r="A2" s="8" t="s">
        <v>8</v>
      </c>
      <c r="B2" s="9" t="n">
        <v>0.1</v>
      </c>
      <c r="C2" s="10" t="s">
        <v>9</v>
      </c>
      <c r="E2" s="11" t="s">
        <v>10</v>
      </c>
      <c r="F2" s="12" t="n">
        <f aca="false">F3*B2</f>
        <v>5594.097</v>
      </c>
    </row>
    <row r="3" customFormat="false" ht="15.75" hidden="false" customHeight="false" outlineLevel="0" collapsed="false">
      <c r="E3" s="13" t="s">
        <v>11</v>
      </c>
      <c r="F3" s="14" t="n">
        <f aca="false">SUM(F6:F41)</f>
        <v>55940.97</v>
      </c>
    </row>
    <row r="4" customFormat="false" ht="26.85" hidden="false" customHeight="false" outlineLevel="0" collapsed="false">
      <c r="A4" s="15" t="s">
        <v>12</v>
      </c>
      <c r="B4" s="15" t="s">
        <v>13</v>
      </c>
      <c r="C4" s="15" t="s">
        <v>14</v>
      </c>
      <c r="D4" s="16" t="s">
        <v>15</v>
      </c>
      <c r="E4" s="15" t="s">
        <v>16</v>
      </c>
      <c r="F4" s="15" t="s">
        <v>17</v>
      </c>
    </row>
    <row r="5" customFormat="false" ht="39.55" hidden="false" customHeight="false" outlineLevel="0" collapsed="false">
      <c r="A5" s="17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7" t="s">
        <v>22</v>
      </c>
    </row>
    <row r="6" customFormat="false" ht="52.2" hidden="false" customHeight="false" outlineLevel="0" collapsed="false">
      <c r="A6" s="18" t="s">
        <v>23</v>
      </c>
      <c r="B6" s="18" t="s">
        <v>38</v>
      </c>
      <c r="C6" s="18" t="s">
        <v>25</v>
      </c>
      <c r="D6" s="19" t="n">
        <f aca="false">6*5000</f>
        <v>30000</v>
      </c>
      <c r="E6" s="20" t="n">
        <f aca="false">F6/$F$1</f>
        <v>0.549394055262831</v>
      </c>
      <c r="F6" s="21" t="n">
        <f aca="false">D6/$B$1</f>
        <v>33807</v>
      </c>
    </row>
    <row r="7" customFormat="false" ht="90.25" hidden="false" customHeight="false" outlineLevel="0" collapsed="false">
      <c r="A7" s="18" t="s">
        <v>26</v>
      </c>
      <c r="B7" s="18" t="s">
        <v>39</v>
      </c>
      <c r="C7" s="18" t="s">
        <v>40</v>
      </c>
      <c r="D7" s="19" t="n">
        <f aca="false">720*3.5*$B$1</f>
        <v>2236.22326737066</v>
      </c>
      <c r="E7" s="20" t="n">
        <f aca="false">F7/$F$1</f>
        <v>0.0409522589777955</v>
      </c>
      <c r="F7" s="21" t="n">
        <f aca="false">D7/$B$1</f>
        <v>2520</v>
      </c>
    </row>
    <row r="8" customFormat="false" ht="77.6" hidden="false" customHeight="false" outlineLevel="0" collapsed="false">
      <c r="A8" s="18" t="s">
        <v>26</v>
      </c>
      <c r="B8" s="18" t="s">
        <v>41</v>
      </c>
      <c r="C8" s="18" t="s">
        <v>42</v>
      </c>
      <c r="D8" s="19" t="n">
        <f aca="false">560*3.5*$B$1</f>
        <v>1739.28476351052</v>
      </c>
      <c r="E8" s="20" t="n">
        <f aca="false">F8/$F$1</f>
        <v>0.0318517569827299</v>
      </c>
      <c r="F8" s="21" t="n">
        <f aca="false">D8/$B$1</f>
        <v>1960</v>
      </c>
    </row>
    <row r="9" customFormat="false" ht="90.25" hidden="false" customHeight="false" outlineLevel="0" collapsed="false">
      <c r="A9" s="18" t="s">
        <v>26</v>
      </c>
      <c r="B9" s="18" t="s">
        <v>43</v>
      </c>
      <c r="C9" s="18" t="s">
        <v>44</v>
      </c>
      <c r="D9" s="19" t="n">
        <f aca="false">720*3.5*$B$1</f>
        <v>2236.22326737066</v>
      </c>
      <c r="E9" s="20" t="n">
        <f aca="false">F9/$F$1</f>
        <v>0.0409522589777955</v>
      </c>
      <c r="F9" s="21" t="n">
        <f aca="false">D9/$B$1</f>
        <v>2520</v>
      </c>
    </row>
    <row r="10" customFormat="false" ht="39.55" hidden="false" customHeight="false" outlineLevel="0" collapsed="false">
      <c r="A10" s="18" t="s">
        <v>26</v>
      </c>
      <c r="B10" s="18" t="s">
        <v>45</v>
      </c>
      <c r="C10" s="18" t="s">
        <v>46</v>
      </c>
      <c r="D10" s="19" t="n">
        <v>2000</v>
      </c>
      <c r="E10" s="20" t="n">
        <f aca="false">F10/$F$1</f>
        <v>0.0366262703508554</v>
      </c>
      <c r="F10" s="21" t="n">
        <f aca="false">D10/$B$1</f>
        <v>2253.8</v>
      </c>
    </row>
    <row r="11" customFormat="false" ht="77.6" hidden="false" customHeight="false" outlineLevel="0" collapsed="false">
      <c r="A11" s="18" t="s">
        <v>26</v>
      </c>
      <c r="B11" s="18" t="s">
        <v>33</v>
      </c>
      <c r="C11" s="18" t="s">
        <v>34</v>
      </c>
      <c r="D11" s="19" t="n">
        <f aca="false">2400*$B$1</f>
        <v>2129.73644511492</v>
      </c>
      <c r="E11" s="20" t="n">
        <f aca="false">F11/$F$1</f>
        <v>0.0390021514074243</v>
      </c>
      <c r="F11" s="21" t="n">
        <f aca="false">D11/$B$1</f>
        <v>2400</v>
      </c>
    </row>
    <row r="12" customFormat="false" ht="39.55" hidden="false" customHeight="false" outlineLevel="0" collapsed="false">
      <c r="A12" s="18" t="s">
        <v>26</v>
      </c>
      <c r="B12" s="18" t="s">
        <v>49</v>
      </c>
      <c r="C12" s="18" t="s">
        <v>37</v>
      </c>
      <c r="D12" s="19" t="n">
        <v>3000</v>
      </c>
      <c r="E12" s="20" t="n">
        <f aca="false">F12/$F$1</f>
        <v>0.0549394055262831</v>
      </c>
      <c r="F12" s="21" t="n">
        <f aca="false">D12/$B$1</f>
        <v>3380.7</v>
      </c>
    </row>
    <row r="13" customFormat="false" ht="26.85" hidden="false" customHeight="false" outlineLevel="0" collapsed="false">
      <c r="A13" s="18" t="s">
        <v>26</v>
      </c>
      <c r="B13" s="18" t="s">
        <v>50</v>
      </c>
      <c r="C13" s="18" t="s">
        <v>37</v>
      </c>
      <c r="D13" s="19" t="n">
        <v>1500</v>
      </c>
      <c r="E13" s="20" t="n">
        <f aca="false">F13/$F$1</f>
        <v>0.0274697027631415</v>
      </c>
      <c r="F13" s="21" t="n">
        <f aca="false">D13/$B$1</f>
        <v>1690.35</v>
      </c>
    </row>
    <row r="14" customFormat="false" ht="52.2" hidden="false" customHeight="false" outlineLevel="0" collapsed="false">
      <c r="A14" s="18" t="s">
        <v>47</v>
      </c>
      <c r="B14" s="18" t="s">
        <v>51</v>
      </c>
      <c r="C14" s="18" t="s">
        <v>37</v>
      </c>
      <c r="D14" s="19" t="n">
        <v>4500</v>
      </c>
      <c r="E14" s="20" t="n">
        <f aca="false">F14/$F$1</f>
        <v>0.0824091082894246</v>
      </c>
      <c r="F14" s="21" t="n">
        <f aca="false">D14/$B$1</f>
        <v>5071.05</v>
      </c>
    </row>
    <row r="15" customFormat="false" ht="26.85" hidden="false" customHeight="false" outlineLevel="0" collapsed="false">
      <c r="A15" s="18" t="s">
        <v>35</v>
      </c>
      <c r="B15" s="18" t="s">
        <v>36</v>
      </c>
      <c r="C15" s="18" t="s">
        <v>37</v>
      </c>
      <c r="D15" s="19" t="n">
        <v>300</v>
      </c>
      <c r="E15" s="20" t="n">
        <f aca="false">F15/$F$1</f>
        <v>0.00549394055262831</v>
      </c>
      <c r="F15" s="21" t="n">
        <f aca="false">D15/$B$1</f>
        <v>338.07</v>
      </c>
    </row>
    <row r="16" customFormat="false" ht="15.75" hidden="false" customHeight="false" outlineLevel="0" collapsed="false">
      <c r="A16" s="18"/>
      <c r="B16" s="18"/>
      <c r="C16" s="18"/>
      <c r="D16" s="22"/>
      <c r="E16" s="20" t="n">
        <f aca="false">F16/$F$1</f>
        <v>0</v>
      </c>
      <c r="F16" s="21" t="n">
        <f aca="false">D16/$B$1</f>
        <v>0</v>
      </c>
    </row>
    <row r="17" customFormat="false" ht="15.75" hidden="false" customHeight="false" outlineLevel="0" collapsed="false">
      <c r="A17" s="18"/>
      <c r="B17" s="18"/>
      <c r="C17" s="18"/>
      <c r="D17" s="22"/>
      <c r="E17" s="20" t="n">
        <f aca="false">F17/$F$1</f>
        <v>0</v>
      </c>
      <c r="F17" s="21" t="n">
        <f aca="false">D17/$B$1</f>
        <v>0</v>
      </c>
    </row>
    <row r="18" customFormat="false" ht="15.75" hidden="false" customHeight="false" outlineLevel="0" collapsed="false">
      <c r="A18" s="18"/>
      <c r="B18" s="18"/>
      <c r="C18" s="18"/>
      <c r="D18" s="22"/>
      <c r="E18" s="20" t="n">
        <f aca="false">F18/$F$1</f>
        <v>0</v>
      </c>
      <c r="F18" s="21" t="n">
        <f aca="false">D18/$B$1</f>
        <v>0</v>
      </c>
    </row>
    <row r="19" customFormat="false" ht="15.75" hidden="false" customHeight="false" outlineLevel="0" collapsed="false">
      <c r="A19" s="18"/>
      <c r="B19" s="18"/>
      <c r="C19" s="18"/>
      <c r="D19" s="22"/>
      <c r="E19" s="20" t="n">
        <f aca="false">F19/$F$1</f>
        <v>0</v>
      </c>
      <c r="F19" s="21" t="n">
        <f aca="false">D19/$B$1</f>
        <v>0</v>
      </c>
    </row>
    <row r="20" customFormat="false" ht="15.75" hidden="false" customHeight="false" outlineLevel="0" collapsed="false">
      <c r="A20" s="18"/>
      <c r="B20" s="18"/>
      <c r="C20" s="18"/>
      <c r="D20" s="22"/>
      <c r="E20" s="20" t="n">
        <f aca="false">F20/$F$1</f>
        <v>0</v>
      </c>
      <c r="F20" s="21" t="n">
        <f aca="false">D20/$B$1</f>
        <v>0</v>
      </c>
    </row>
    <row r="21" customFormat="false" ht="15.75" hidden="false" customHeight="false" outlineLevel="0" collapsed="false">
      <c r="A21" s="18"/>
      <c r="B21" s="18"/>
      <c r="C21" s="18"/>
      <c r="D21" s="22"/>
      <c r="E21" s="20" t="n">
        <f aca="false">F21/$F$1</f>
        <v>0</v>
      </c>
      <c r="F21" s="21" t="n">
        <f aca="false">D21/$B$1</f>
        <v>0</v>
      </c>
    </row>
    <row r="22" customFormat="false" ht="15.75" hidden="false" customHeight="false" outlineLevel="0" collapsed="false">
      <c r="A22" s="18"/>
      <c r="B22" s="18"/>
      <c r="C22" s="18"/>
      <c r="D22" s="22"/>
      <c r="E22" s="20" t="n">
        <f aca="false">F22/$F$1</f>
        <v>0</v>
      </c>
      <c r="F22" s="21" t="n">
        <f aca="false">D22/$B$1</f>
        <v>0</v>
      </c>
    </row>
    <row r="23" customFormat="false" ht="15.75" hidden="false" customHeight="false" outlineLevel="0" collapsed="false">
      <c r="A23" s="18"/>
      <c r="B23" s="18"/>
      <c r="C23" s="18"/>
      <c r="D23" s="22"/>
      <c r="E23" s="20" t="n">
        <f aca="false">F23/$F$1</f>
        <v>0</v>
      </c>
      <c r="F23" s="21" t="n">
        <f aca="false">D23/$B$1</f>
        <v>0</v>
      </c>
    </row>
    <row r="24" customFormat="false" ht="15.75" hidden="false" customHeight="false" outlineLevel="0" collapsed="false">
      <c r="A24" s="18"/>
      <c r="B24" s="18"/>
      <c r="C24" s="18"/>
      <c r="D24" s="22"/>
      <c r="E24" s="20" t="n">
        <f aca="false">F24/$F$1</f>
        <v>0</v>
      </c>
      <c r="F24" s="21" t="n">
        <f aca="false">D24/$B$1</f>
        <v>0</v>
      </c>
    </row>
    <row r="25" customFormat="false" ht="15.75" hidden="false" customHeight="false" outlineLevel="0" collapsed="false">
      <c r="A25" s="18"/>
      <c r="B25" s="18"/>
      <c r="C25" s="18"/>
      <c r="D25" s="22"/>
      <c r="E25" s="20" t="n">
        <f aca="false">F25/$F$1</f>
        <v>0</v>
      </c>
      <c r="F25" s="21" t="n">
        <f aca="false">D25/$B$1</f>
        <v>0</v>
      </c>
    </row>
    <row r="26" customFormat="false" ht="15.75" hidden="false" customHeight="false" outlineLevel="0" collapsed="false">
      <c r="A26" s="18"/>
      <c r="B26" s="18"/>
      <c r="C26" s="18"/>
      <c r="D26" s="22"/>
      <c r="E26" s="20" t="n">
        <f aca="false">F26/$F$1</f>
        <v>0</v>
      </c>
      <c r="F26" s="21" t="n">
        <f aca="false">D26/$B$1</f>
        <v>0</v>
      </c>
    </row>
    <row r="27" customFormat="false" ht="15.75" hidden="false" customHeight="false" outlineLevel="0" collapsed="false">
      <c r="A27" s="18"/>
      <c r="B27" s="18"/>
      <c r="C27" s="18"/>
      <c r="D27" s="22"/>
      <c r="E27" s="20" t="n">
        <f aca="false">F27/$F$1</f>
        <v>0</v>
      </c>
      <c r="F27" s="21" t="n">
        <f aca="false">D27/$B$1</f>
        <v>0</v>
      </c>
    </row>
    <row r="28" customFormat="false" ht="15.75" hidden="false" customHeight="false" outlineLevel="0" collapsed="false">
      <c r="A28" s="18"/>
      <c r="B28" s="18"/>
      <c r="C28" s="18"/>
      <c r="D28" s="22"/>
      <c r="E28" s="20" t="n">
        <f aca="false">F28/$F$1</f>
        <v>0</v>
      </c>
      <c r="F28" s="21" t="n">
        <f aca="false">D28/$B$1</f>
        <v>0</v>
      </c>
    </row>
    <row r="29" customFormat="false" ht="15.75" hidden="false" customHeight="false" outlineLevel="0" collapsed="false">
      <c r="A29" s="18"/>
      <c r="B29" s="18"/>
      <c r="C29" s="18"/>
      <c r="D29" s="22"/>
      <c r="E29" s="20" t="n">
        <f aca="false">F29/$F$1</f>
        <v>0</v>
      </c>
      <c r="F29" s="21" t="n">
        <f aca="false">D29/$B$1</f>
        <v>0</v>
      </c>
    </row>
    <row r="30" customFormat="false" ht="15.75" hidden="false" customHeight="false" outlineLevel="0" collapsed="false">
      <c r="A30" s="18"/>
      <c r="B30" s="18"/>
      <c r="C30" s="18"/>
      <c r="D30" s="22"/>
      <c r="E30" s="20" t="n">
        <f aca="false">F30/$F$1</f>
        <v>0</v>
      </c>
      <c r="F30" s="21" t="n">
        <f aca="false">D30/$B$1</f>
        <v>0</v>
      </c>
    </row>
    <row r="31" customFormat="false" ht="15.75" hidden="false" customHeight="false" outlineLevel="0" collapsed="false">
      <c r="A31" s="18"/>
      <c r="B31" s="18"/>
      <c r="C31" s="18"/>
      <c r="D31" s="22"/>
      <c r="E31" s="20" t="n">
        <f aca="false">F31/$F$1</f>
        <v>0</v>
      </c>
      <c r="F31" s="21" t="n">
        <f aca="false">D31/$B$1</f>
        <v>0</v>
      </c>
    </row>
    <row r="32" customFormat="false" ht="15.75" hidden="false" customHeight="false" outlineLevel="0" collapsed="false">
      <c r="A32" s="18"/>
      <c r="B32" s="18"/>
      <c r="C32" s="18"/>
      <c r="D32" s="22"/>
      <c r="E32" s="20" t="n">
        <f aca="false">F32/$F$1</f>
        <v>0</v>
      </c>
      <c r="F32" s="21" t="n">
        <f aca="false">D32/$B$1</f>
        <v>0</v>
      </c>
    </row>
    <row r="33" customFormat="false" ht="15.75" hidden="false" customHeight="false" outlineLevel="0" collapsed="false">
      <c r="A33" s="18"/>
      <c r="B33" s="18"/>
      <c r="C33" s="18"/>
      <c r="D33" s="22"/>
      <c r="E33" s="20" t="n">
        <f aca="false">F33/$F$1</f>
        <v>0</v>
      </c>
      <c r="F33" s="21" t="n">
        <f aca="false">D33/$B$1</f>
        <v>0</v>
      </c>
    </row>
    <row r="34" customFormat="false" ht="15.75" hidden="false" customHeight="false" outlineLevel="0" collapsed="false">
      <c r="A34" s="18"/>
      <c r="B34" s="18"/>
      <c r="C34" s="18"/>
      <c r="D34" s="22"/>
      <c r="E34" s="20" t="n">
        <f aca="false">F34/$F$1</f>
        <v>0</v>
      </c>
      <c r="F34" s="21" t="n">
        <f aca="false">D34/$B$1</f>
        <v>0</v>
      </c>
    </row>
    <row r="35" customFormat="false" ht="15.75" hidden="false" customHeight="false" outlineLevel="0" collapsed="false">
      <c r="A35" s="18"/>
      <c r="B35" s="18"/>
      <c r="C35" s="18"/>
      <c r="D35" s="22"/>
      <c r="E35" s="20" t="n">
        <f aca="false">F35/$F$1</f>
        <v>0</v>
      </c>
      <c r="F35" s="21" t="n">
        <f aca="false">D35/$B$1</f>
        <v>0</v>
      </c>
    </row>
    <row r="36" customFormat="false" ht="15.75" hidden="false" customHeight="false" outlineLevel="0" collapsed="false">
      <c r="A36" s="18"/>
      <c r="B36" s="18"/>
      <c r="C36" s="18"/>
      <c r="D36" s="22"/>
      <c r="E36" s="20" t="n">
        <f aca="false">F36/$F$1</f>
        <v>0</v>
      </c>
      <c r="F36" s="21" t="n">
        <f aca="false">D36/$B$1</f>
        <v>0</v>
      </c>
    </row>
    <row r="37" customFormat="false" ht="15.75" hidden="false" customHeight="false" outlineLevel="0" collapsed="false">
      <c r="A37" s="18"/>
      <c r="B37" s="18"/>
      <c r="C37" s="18"/>
      <c r="D37" s="22"/>
      <c r="E37" s="20" t="n">
        <f aca="false">F37/$F$1</f>
        <v>0</v>
      </c>
      <c r="F37" s="21" t="n">
        <f aca="false">D37/$B$1</f>
        <v>0</v>
      </c>
    </row>
    <row r="38" customFormat="false" ht="15.75" hidden="false" customHeight="false" outlineLevel="0" collapsed="false">
      <c r="A38" s="18"/>
      <c r="B38" s="18"/>
      <c r="C38" s="18"/>
      <c r="D38" s="22"/>
      <c r="E38" s="20" t="n">
        <f aca="false">F38/$F$1</f>
        <v>0</v>
      </c>
      <c r="F38" s="21" t="n">
        <f aca="false">D38/$B$1</f>
        <v>0</v>
      </c>
    </row>
    <row r="39" customFormat="false" ht="15.75" hidden="false" customHeight="false" outlineLevel="0" collapsed="false">
      <c r="A39" s="18"/>
      <c r="B39" s="18"/>
      <c r="C39" s="18"/>
      <c r="D39" s="22"/>
      <c r="E39" s="20" t="n">
        <f aca="false">F39/$F$1</f>
        <v>0</v>
      </c>
      <c r="F39" s="21" t="n">
        <f aca="false">D39/$B$1</f>
        <v>0</v>
      </c>
    </row>
    <row r="40" customFormat="false" ht="15.75" hidden="false" customHeight="false" outlineLevel="0" collapsed="false">
      <c r="A40" s="18"/>
      <c r="B40" s="18"/>
      <c r="C40" s="18"/>
      <c r="D40" s="22"/>
      <c r="E40" s="20" t="n">
        <f aca="false">F40/$F$1</f>
        <v>0</v>
      </c>
      <c r="F40" s="21" t="n">
        <f aca="false">D40/$B$1</f>
        <v>0</v>
      </c>
    </row>
    <row r="41" customFormat="false" ht="15.75" hidden="false" customHeight="false" outlineLevel="0" collapsed="false">
      <c r="A41" s="18"/>
      <c r="B41" s="18"/>
      <c r="C41" s="18"/>
      <c r="D41" s="22"/>
      <c r="E41" s="20" t="n">
        <f aca="false">F41/$F$1</f>
        <v>0</v>
      </c>
      <c r="F41" s="21" t="n">
        <f aca="false">D41/$B$1</f>
        <v>0</v>
      </c>
    </row>
  </sheetData>
  <dataValidations count="1">
    <dataValidation allowBlank="true" errorStyle="stop" operator="between" showDropDown="false" showErrorMessage="false" showInputMessage="false" sqref="A6:A41" type="list">
      <formula1>"Personnel,Materials,Operations,Travel,Other"</formula1>
      <formula2>0</formula2>
    </dataValidation>
  </dataValidations>
  <hyperlinks>
    <hyperlink ref="A1" r:id="rId1" display="Currency *   1 USD =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2026-10-07T06:12:50Z</dcterms:created>
  <dc:creator>openpyxl</dc:creator>
  <dc:description/>
  <dc:language>en-US</dc:language>
  <cp:lastModifiedBy/>
  <dcterms:modified xsi:type="dcterms:W3CDTF">2026-10-07T06:12:50Z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